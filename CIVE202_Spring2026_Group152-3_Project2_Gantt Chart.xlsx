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25"/>
  <workbookPr codeName="ThisWorkbook"/>
  <mc:AlternateContent xmlns:mc="http://schemas.openxmlformats.org/markup-compatibility/2006">
    <mc:Choice Requires="x15">
      <x15ac:absPath xmlns:x15ac="http://schemas.microsoft.com/office/spreadsheetml/2010/11/ac" url="/Users/carterjanssen/Downloads/CIVE 202/Project 2/Project 2 (turn in)/"/>
    </mc:Choice>
  </mc:AlternateContent>
  <xr:revisionPtr revIDLastSave="0" documentId="8_{DDA4611E-3F83-E74D-A0B0-4FC90380E80C}" xr6:coauthVersionLast="47" xr6:coauthVersionMax="47" xr10:uidLastSave="{00000000-0000-0000-0000-000000000000}"/>
  <bookViews>
    <workbookView xWindow="0" yWindow="760" windowWidth="25300" windowHeight="15600" xr2:uid="{00000000-000D-0000-FFFF-FFFF00000000}"/>
  </bookViews>
  <sheets>
    <sheet name="GanttChart" sheetId="9" r:id="rId1"/>
  </sheets>
  <definedNames>
    <definedName name="prevWBS" localSheetId="0">GanttChart!$A1048576</definedName>
    <definedName name="_xlnm.Print_Area" localSheetId="0">GanttChart!$A$1:$BN$30</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9" l="1"/>
  <c r="F16" i="9"/>
  <c r="F13" i="9"/>
  <c r="F8" i="9" l="1"/>
  <c r="I8" i="9" s="1"/>
  <c r="F23" i="9"/>
  <c r="I23" i="9" s="1"/>
  <c r="F17" i="9"/>
  <c r="I17" i="9" s="1"/>
  <c r="F9" i="9" l="1"/>
  <c r="K6" i="9"/>
  <c r="F10" i="9" l="1"/>
  <c r="K7" i="9"/>
  <c r="K4" i="9"/>
  <c r="A8" i="9"/>
  <c r="L6" i="9" l="1"/>
  <c r="I12" i="9" l="1"/>
  <c r="F19" i="9"/>
  <c r="I19" i="9" s="1"/>
  <c r="F18" i="9"/>
  <c r="I18" i="9" s="1"/>
  <c r="F25" i="9"/>
  <c r="I25" i="9" s="1"/>
  <c r="F24" i="9"/>
  <c r="I24" i="9" s="1"/>
  <c r="M6" i="9"/>
  <c r="F26" i="9" l="1"/>
  <c r="I26" i="9" s="1"/>
  <c r="N6" i="9"/>
  <c r="F27" i="9" l="1"/>
  <c r="I27" i="9" s="1"/>
  <c r="O6" i="9"/>
  <c r="K5" i="9"/>
  <c r="F28" i="9" l="1"/>
  <c r="I28" i="9" s="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T6" i="9" s="1"/>
  <c r="AP7" i="9"/>
  <c r="AT4" i="9" l="1"/>
  <c r="AU6" i="9"/>
  <c r="AT5" i="9"/>
  <c r="AT7" i="9"/>
  <c r="AQ7" i="9"/>
  <c r="AV6" i="9" l="1"/>
  <c r="AU7" i="9"/>
  <c r="AR7" i="9"/>
  <c r="AW6" i="9" l="1"/>
  <c r="AV7" i="9"/>
  <c r="AS7" i="9"/>
  <c r="AX6" i="9" l="1"/>
  <c r="AW7" i="9"/>
  <c r="A9" i="9"/>
  <c r="A10" i="9" s="1"/>
  <c r="AY6" i="9" l="1"/>
  <c r="AX7" i="9"/>
  <c r="A11" i="9"/>
  <c r="A12" i="9" s="1"/>
  <c r="A13" i="9" s="1"/>
  <c r="AY7" i="9" l="1"/>
  <c r="AZ6" i="9"/>
  <c r="A14" i="9"/>
  <c r="A15" i="9" s="1"/>
  <c r="A16" i="9" s="1"/>
  <c r="A17" i="9" s="1"/>
  <c r="A18" i="9" s="1"/>
  <c r="A19" i="9" s="1"/>
  <c r="A20" i="9" s="1"/>
  <c r="A21" i="9" s="1"/>
  <c r="AZ7" i="9" l="1"/>
  <c r="BA6" i="9"/>
  <c r="F14" i="9"/>
  <c r="A22" i="9"/>
  <c r="A23" i="9" s="1"/>
  <c r="A24" i="9" s="1"/>
  <c r="A25" i="9" s="1"/>
  <c r="A26" i="9" s="1"/>
  <c r="A27" i="9" s="1"/>
  <c r="A28" i="9" s="1"/>
  <c r="BA7" i="9" l="1"/>
  <c r="BA4" i="9"/>
  <c r="BA5" i="9"/>
  <c r="BB6" i="9"/>
  <c r="I14" i="9"/>
  <c r="F15" i="9"/>
  <c r="BB7" i="9" l="1"/>
  <c r="BC6" i="9"/>
  <c r="I16" i="9"/>
  <c r="BD6" i="9" l="1"/>
  <c r="BC7" i="9"/>
  <c r="BD7" i="9" l="1"/>
  <c r="BE6" i="9"/>
  <c r="BF6" i="9" l="1"/>
  <c r="BE7" i="9"/>
  <c r="BG6" i="9" l="1"/>
  <c r="BF7" i="9"/>
  <c r="BG7" i="9" l="1"/>
  <c r="BH6" i="9"/>
  <c r="BH5" i="9" l="1"/>
  <c r="BI6" i="9"/>
  <c r="BH7" i="9"/>
  <c r="BH4" i="9"/>
  <c r="BI7" i="9" l="1"/>
  <c r="BJ6" i="9"/>
  <c r="BJ7" i="9" l="1"/>
  <c r="BK6" i="9"/>
  <c r="BL6" i="9" l="1"/>
  <c r="BK7" i="9"/>
  <c r="BM6" i="9" l="1"/>
  <c r="BL7" i="9"/>
  <c r="BN6" i="9" l="1"/>
  <c r="BN7" i="9" s="1"/>
  <c r="BM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rgb="FF000000"/>
            <rFont val="Tahoma"/>
            <family val="2"/>
          </rPr>
          <t>Task Description</t>
        </r>
        <r>
          <rPr>
            <sz val="9"/>
            <color rgb="FF000000"/>
            <rFont val="Tahoma"/>
            <family val="2"/>
          </rPr>
          <t xml:space="preserve">
</t>
        </r>
        <r>
          <rPr>
            <sz val="9"/>
            <color rgb="FF000000"/>
            <rFont val="Tahoma"/>
            <family val="2"/>
          </rPr>
          <t>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<sst xmlns="http://schemas.openxmlformats.org/spreadsheetml/2006/main" count="40" uniqueCount="30">
  <si>
    <t>WBS</t>
  </si>
  <si>
    <t>[Task Category]</t>
  </si>
  <si>
    <t>[Task]</t>
  </si>
  <si>
    <t>TASK</t>
  </si>
  <si>
    <t>LEAD</t>
  </si>
  <si>
    <t>START</t>
  </si>
  <si>
    <t>END</t>
  </si>
  <si>
    <t>DAYS</t>
  </si>
  <si>
    <t>% DONE</t>
  </si>
  <si>
    <t>WORK DAYS</t>
  </si>
  <si>
    <t>PREDECESSOR</t>
  </si>
  <si>
    <t xml:space="preserve">Display Week </t>
  </si>
  <si>
    <t xml:space="preserve">Project Start Date </t>
  </si>
  <si>
    <t xml:space="preserve">Project Lead </t>
  </si>
  <si>
    <t>Carter</t>
  </si>
  <si>
    <t>Create Gantt Chart</t>
  </si>
  <si>
    <t>Project Management</t>
  </si>
  <si>
    <t>Write Scope of Work</t>
  </si>
  <si>
    <t>[Project #2]  Project Schedule</t>
  </si>
  <si>
    <t>Technical Implications</t>
  </si>
  <si>
    <t>Clean Data</t>
  </si>
  <si>
    <t>Mix Scenerios Reaserch</t>
  </si>
  <si>
    <t>Writing Python Code</t>
  </si>
  <si>
    <t>Annotated Code Document</t>
  </si>
  <si>
    <t>Written Technical Report</t>
  </si>
  <si>
    <t>Written Report</t>
  </si>
  <si>
    <t>Git Hub Repository</t>
  </si>
  <si>
    <t>Adam</t>
  </si>
  <si>
    <t>Luke</t>
  </si>
  <si>
    <t>Due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</si>
</sst>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52"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i/>
      <sz val="9"/>
      <name val="Arial"/>
      <family val="2"/>
      <scheme val="minor"/>
    </font>
    <font>
      <b/>
      <sz val="10"/>
      <color rgb="FF000000"/>
      <name val="Arial"/>
      <family val="2"/>
      <scheme val="minor"/>
    </font>
    <font>
      <sz val="10"/>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b/>
      <sz val="11"/>
      <color rgb="FF000000"/>
      <name val="Arial"/>
      <family val="2"/>
      <scheme val="minor"/>
    </font>
    <font>
      <i/>
      <sz val="8"/>
      <color theme="1" tint="0.34998626667073579"/>
      <name val="Arial"/>
      <family val="2"/>
    </font>
    <font>
      <sz val="9"/>
      <color theme="0"/>
      <name val="Arial"/>
      <family val="2"/>
      <scheme val="minor"/>
    </font>
    <font>
      <b/>
      <sz val="9"/>
      <color rgb="FF000000"/>
      <name val="Tahoma"/>
      <family val="2"/>
    </font>
    <font>
      <sz val="9"/>
      <color rgb="FF000000"/>
      <name val="Tahoma"/>
      <family val="2"/>
    </font>
  </fonts>
  <fills count="25">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1"/>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bottom style="thin">
        <color rgb="FFEFEFEF"/>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92">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31" fillId="0" borderId="0" xfId="0" applyFont="1"/>
    <xf numFmtId="0" fontId="32" fillId="0" borderId="0" xfId="0" applyFont="1" applyAlignment="1" applyProtection="1">
      <alignment vertical="center"/>
      <protection locked="0"/>
    </xf>
    <xf numFmtId="0" fontId="34" fillId="21" borderId="10" xfId="0" applyFont="1" applyFill="1" applyBorder="1" applyAlignment="1">
      <alignment horizontal="left" vertical="center"/>
    </xf>
    <xf numFmtId="0" fontId="34" fillId="21" borderId="10" xfId="0" applyFont="1" applyFill="1" applyBorder="1" applyAlignment="1">
      <alignment vertical="center"/>
    </xf>
    <xf numFmtId="0" fontId="30" fillId="21" borderId="10" xfId="0" applyFont="1" applyFill="1" applyBorder="1" applyAlignment="1">
      <alignment vertical="center"/>
    </xf>
    <xf numFmtId="0" fontId="30" fillId="21" borderId="10" xfId="0" applyFont="1" applyFill="1" applyBorder="1" applyAlignment="1">
      <alignment horizontal="center" vertical="center"/>
    </xf>
    <xf numFmtId="1" fontId="30" fillId="21" borderId="10" xfId="40" applyNumberFormat="1" applyFont="1" applyFill="1" applyBorder="1" applyAlignment="1" applyProtection="1">
      <alignment horizontal="center" vertical="center"/>
    </xf>
    <xf numFmtId="9" fontId="30" fillId="21" borderId="10" xfId="40" applyFont="1" applyFill="1" applyBorder="1" applyAlignment="1" applyProtection="1">
      <alignment horizontal="center" vertical="center"/>
    </xf>
    <xf numFmtId="1" fontId="30" fillId="21" borderId="10" xfId="0" applyNumberFormat="1" applyFont="1" applyFill="1" applyBorder="1" applyAlignment="1">
      <alignment horizontal="center" vertical="center"/>
    </xf>
    <xf numFmtId="0" fontId="30" fillId="0" borderId="10" xfId="0" applyFont="1" applyBorder="1" applyAlignment="1">
      <alignment horizontal="left" vertical="center"/>
    </xf>
    <xf numFmtId="0" fontId="30" fillId="0" borderId="10" xfId="0" applyFont="1" applyBorder="1" applyAlignment="1">
      <alignment vertical="center"/>
    </xf>
    <xf numFmtId="1" fontId="35" fillId="23" borderId="12" xfId="0" applyNumberFormat="1" applyFont="1" applyFill="1" applyBorder="1" applyAlignment="1">
      <alignment horizontal="center" vertical="center"/>
    </xf>
    <xf numFmtId="9" fontId="35" fillId="23" borderId="12" xfId="40" applyFont="1" applyFill="1" applyBorder="1" applyAlignment="1" applyProtection="1">
      <alignment horizontal="center" vertical="center"/>
    </xf>
    <xf numFmtId="1" fontId="35" fillId="0" borderId="12" xfId="0" applyNumberFormat="1" applyFont="1" applyBorder="1" applyAlignment="1">
      <alignment horizontal="center" vertical="center"/>
    </xf>
    <xf numFmtId="0" fontId="36" fillId="0" borderId="10" xfId="0" applyFont="1" applyBorder="1" applyAlignment="1">
      <alignment vertical="center"/>
    </xf>
    <xf numFmtId="0" fontId="30" fillId="0" borderId="10" xfId="0" applyFont="1" applyBorder="1" applyAlignment="1">
      <alignment horizontal="center" vertical="center"/>
    </xf>
    <xf numFmtId="1" fontId="30" fillId="0" borderId="10" xfId="40" applyNumberFormat="1" applyFont="1" applyFill="1" applyBorder="1" applyAlignment="1" applyProtection="1">
      <alignment horizontal="center" vertical="center"/>
    </xf>
    <xf numFmtId="9" fontId="30" fillId="0" borderId="10" xfId="40" applyFont="1" applyFill="1" applyBorder="1" applyAlignment="1" applyProtection="1">
      <alignment horizontal="center" vertical="center"/>
    </xf>
    <xf numFmtId="0" fontId="30" fillId="0" borderId="0" xfId="0" applyFont="1" applyAlignment="1">
      <alignment vertical="center"/>
    </xf>
    <xf numFmtId="0" fontId="39" fillId="0" borderId="0" xfId="0" applyFont="1" applyAlignment="1">
      <alignment vertical="center"/>
    </xf>
    <xf numFmtId="166" fontId="3" fillId="0" borderId="13" xfId="0" applyNumberFormat="1" applyFont="1" applyBorder="1" applyAlignment="1">
      <alignment horizontal="center" vertical="center" shrinkToFit="1"/>
    </xf>
    <xf numFmtId="0" fontId="34" fillId="21" borderId="14" xfId="0" applyFont="1" applyFill="1" applyBorder="1" applyAlignment="1">
      <alignment horizontal="left" vertical="center"/>
    </xf>
    <xf numFmtId="0" fontId="34" fillId="21" borderId="14" xfId="0" applyFont="1" applyFill="1" applyBorder="1" applyAlignment="1">
      <alignment vertical="center"/>
    </xf>
    <xf numFmtId="0" fontId="30" fillId="21" borderId="14" xfId="0" applyFont="1" applyFill="1" applyBorder="1" applyAlignment="1">
      <alignment vertical="center"/>
    </xf>
    <xf numFmtId="0" fontId="30" fillId="21" borderId="14" xfId="0" applyFont="1" applyFill="1" applyBorder="1" applyAlignment="1">
      <alignment horizontal="center" vertical="center"/>
    </xf>
    <xf numFmtId="165" fontId="30" fillId="21" borderId="14" xfId="0" applyNumberFormat="1" applyFont="1" applyFill="1" applyBorder="1" applyAlignment="1">
      <alignment horizontal="right" vertical="center"/>
    </xf>
    <xf numFmtId="1" fontId="30" fillId="21" borderId="14" xfId="40" applyNumberFormat="1" applyFont="1" applyFill="1" applyBorder="1" applyAlignment="1" applyProtection="1">
      <alignment horizontal="center" vertical="center"/>
    </xf>
    <xf numFmtId="9" fontId="30" fillId="21" borderId="14" xfId="40" applyFont="1" applyFill="1" applyBorder="1" applyAlignment="1" applyProtection="1">
      <alignment horizontal="center" vertical="center"/>
    </xf>
    <xf numFmtId="1" fontId="30" fillId="21" borderId="14" xfId="0" applyNumberFormat="1" applyFont="1" applyFill="1" applyBorder="1" applyAlignment="1">
      <alignment horizontal="center" vertical="center"/>
    </xf>
    <xf numFmtId="166" fontId="3" fillId="0" borderId="16" xfId="0" applyNumberFormat="1" applyFont="1" applyBorder="1" applyAlignment="1">
      <alignment horizontal="center" vertical="center" shrinkToFit="1"/>
    </xf>
    <xf numFmtId="166" fontId="3" fillId="0" borderId="17" xfId="0" applyNumberFormat="1" applyFont="1" applyBorder="1" applyAlignment="1">
      <alignment horizontal="center" vertical="center" shrinkToFit="1"/>
    </xf>
    <xf numFmtId="1" fontId="41" fillId="21" borderId="14" xfId="0" applyNumberFormat="1" applyFont="1" applyFill="1" applyBorder="1" applyAlignment="1">
      <alignment horizontal="center" vertical="center"/>
    </xf>
    <xf numFmtId="1" fontId="42" fillId="0" borderId="12" xfId="0" applyNumberFormat="1" applyFont="1" applyBorder="1" applyAlignment="1">
      <alignment horizontal="center" vertical="center"/>
    </xf>
    <xf numFmtId="1" fontId="41" fillId="21" borderId="10" xfId="0" applyNumberFormat="1" applyFont="1" applyFill="1" applyBorder="1" applyAlignment="1">
      <alignment horizontal="center" vertical="center"/>
    </xf>
    <xf numFmtId="165" fontId="35" fillId="22" borderId="12" xfId="0" applyNumberFormat="1" applyFont="1" applyFill="1" applyBorder="1" applyAlignment="1">
      <alignment horizontal="center" vertical="center"/>
    </xf>
    <xf numFmtId="165" fontId="35" fillId="0" borderId="12" xfId="0" applyNumberFormat="1" applyFont="1" applyBorder="1" applyAlignment="1">
      <alignment horizontal="center" vertical="center"/>
    </xf>
    <xf numFmtId="165" fontId="30" fillId="21" borderId="10" xfId="0" applyNumberFormat="1" applyFont="1" applyFill="1" applyBorder="1" applyAlignment="1">
      <alignment horizontal="center" vertical="center"/>
    </xf>
    <xf numFmtId="0" fontId="36" fillId="0" borderId="10" xfId="0" applyFont="1" applyBorder="1" applyAlignment="1">
      <alignment horizontal="center" vertical="center"/>
    </xf>
    <xf numFmtId="0" fontId="30" fillId="21" borderId="14" xfId="0" applyFont="1" applyFill="1" applyBorder="1" applyAlignment="1">
      <alignment horizontal="left" vertical="center"/>
    </xf>
    <xf numFmtId="0" fontId="30" fillId="21" borderId="10" xfId="0" applyFont="1" applyFill="1" applyBorder="1" applyAlignment="1">
      <alignment horizontal="left" vertical="center"/>
    </xf>
    <xf numFmtId="0" fontId="43" fillId="0" borderId="0" xfId="0" applyFont="1"/>
    <xf numFmtId="0" fontId="43" fillId="0" borderId="0" xfId="0" applyFont="1" applyAlignment="1">
      <alignment horizontal="right" vertical="center"/>
    </xf>
    <xf numFmtId="165" fontId="30" fillId="21" borderId="14" xfId="0" applyNumberFormat="1" applyFont="1" applyFill="1" applyBorder="1" applyAlignment="1">
      <alignment horizontal="center" vertical="center"/>
    </xf>
    <xf numFmtId="0" fontId="44" fillId="0" borderId="18" xfId="0" applyFont="1" applyBorder="1" applyAlignment="1">
      <alignment horizontal="left" vertical="center"/>
    </xf>
    <xf numFmtId="0" fontId="44" fillId="0" borderId="18" xfId="0" applyFont="1" applyBorder="1" applyAlignment="1">
      <alignment horizontal="center" vertical="center" wrapText="1"/>
    </xf>
    <xf numFmtId="0" fontId="45" fillId="0" borderId="18" xfId="0" applyFont="1" applyBorder="1" applyAlignment="1">
      <alignment horizontal="center" vertical="center" wrapText="1"/>
    </xf>
    <xf numFmtId="0" fontId="44" fillId="0" borderId="18" xfId="0" applyFont="1" applyBorder="1" applyAlignment="1">
      <alignment horizontal="center" vertical="center"/>
    </xf>
    <xf numFmtId="0" fontId="30" fillId="0" borderId="19" xfId="0" applyFont="1" applyBorder="1" applyAlignment="1">
      <alignment horizontal="center" vertical="center" shrinkToFit="1"/>
    </xf>
    <xf numFmtId="0" fontId="30" fillId="0" borderId="20" xfId="0" applyFont="1" applyBorder="1" applyAlignment="1">
      <alignment horizontal="center" vertical="center" shrinkToFit="1"/>
    </xf>
    <xf numFmtId="0" fontId="30" fillId="0" borderId="21" xfId="0" applyFont="1" applyBorder="1" applyAlignment="1">
      <alignment horizontal="center" vertical="center" shrinkToFit="1"/>
    </xf>
    <xf numFmtId="0" fontId="46" fillId="0" borderId="0" xfId="0" applyFont="1" applyAlignment="1" applyProtection="1">
      <alignment vertical="center"/>
      <protection locked="0"/>
    </xf>
    <xf numFmtId="0" fontId="30" fillId="0" borderId="10" xfId="0" applyFont="1" applyBorder="1" applyAlignment="1">
      <alignment vertical="center" wrapText="1"/>
    </xf>
    <xf numFmtId="0" fontId="35" fillId="0" borderId="12" xfId="0" applyFont="1" applyBorder="1" applyAlignment="1">
      <alignment horizontal="center" vertical="center"/>
    </xf>
    <xf numFmtId="0" fontId="33" fillId="0" borderId="22"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30" fillId="24" borderId="10" xfId="0" applyFont="1" applyFill="1" applyBorder="1" applyAlignment="1">
      <alignment horizontal="left" vertical="center"/>
    </xf>
    <xf numFmtId="0" fontId="37" fillId="0" borderId="0" xfId="0" applyFont="1" applyAlignment="1">
      <alignment vertical="center"/>
    </xf>
    <xf numFmtId="0" fontId="33" fillId="0" borderId="0" xfId="0" applyFont="1" applyAlignment="1">
      <alignment vertical="center"/>
    </xf>
    <xf numFmtId="0" fontId="38" fillId="0" borderId="0" xfId="0" applyFont="1" applyAlignment="1">
      <alignment vertical="center"/>
    </xf>
    <xf numFmtId="0" fontId="38" fillId="0" borderId="0" xfId="0" applyFont="1" applyAlignment="1">
      <alignment horizontal="center" vertical="center"/>
    </xf>
    <xf numFmtId="0" fontId="41" fillId="0" borderId="0" xfId="0" applyFont="1" applyAlignment="1">
      <alignment vertical="center"/>
    </xf>
    <xf numFmtId="0" fontId="35" fillId="0" borderId="0" xfId="0" applyFont="1" applyAlignment="1">
      <alignment vertical="center"/>
    </xf>
    <xf numFmtId="0" fontId="30" fillId="0" borderId="0" xfId="0" applyFont="1" applyAlignment="1">
      <alignment horizontal="center" vertical="center"/>
    </xf>
    <xf numFmtId="0" fontId="34" fillId="0" borderId="10" xfId="0" applyFont="1" applyBorder="1" applyAlignment="1">
      <alignment horizontal="left" vertical="center"/>
    </xf>
    <xf numFmtId="0" fontId="47" fillId="0" borderId="11" xfId="0" applyFont="1" applyBorder="1" applyAlignment="1">
      <alignment vertical="center"/>
    </xf>
    <xf numFmtId="0" fontId="35" fillId="0" borderId="11" xfId="0" applyFont="1" applyBorder="1" applyAlignment="1">
      <alignment vertical="center"/>
    </xf>
    <xf numFmtId="0" fontId="35" fillId="0" borderId="12" xfId="0" quotePrefix="1" applyFont="1" applyBorder="1" applyAlignment="1">
      <alignment horizontal="center" vertical="center"/>
    </xf>
    <xf numFmtId="9" fontId="35" fillId="0" borderId="12" xfId="40" applyFont="1" applyFill="1" applyBorder="1" applyAlignment="1" applyProtection="1">
      <alignment horizontal="center" vertical="center"/>
    </xf>
    <xf numFmtId="0" fontId="35" fillId="0" borderId="12" xfId="0" applyFont="1" applyBorder="1" applyAlignment="1">
      <alignment vertical="center"/>
    </xf>
    <xf numFmtId="0" fontId="35" fillId="0" borderId="12" xfId="0" applyFont="1" applyBorder="1" applyAlignment="1">
      <alignment horizontal="left" vertical="center"/>
    </xf>
    <xf numFmtId="1" fontId="30" fillId="0" borderId="10" xfId="0" applyNumberFormat="1" applyFont="1" applyBorder="1" applyAlignment="1">
      <alignment horizontal="center" vertical="center"/>
    </xf>
    <xf numFmtId="1" fontId="41" fillId="0" borderId="10" xfId="0" applyNumberFormat="1" applyFont="1" applyBorder="1" applyAlignment="1">
      <alignment horizontal="center" vertical="center"/>
    </xf>
    <xf numFmtId="0" fontId="30" fillId="0" borderId="10" xfId="0" applyFont="1" applyBorder="1" applyAlignment="1">
      <alignment horizontal="left" vertical="center" wrapText="1"/>
    </xf>
    <xf numFmtId="0" fontId="49" fillId="0" borderId="10" xfId="0" applyFont="1" applyBorder="1" applyAlignment="1">
      <alignment vertical="center"/>
    </xf>
    <xf numFmtId="0" fontId="48" fillId="0" borderId="0" xfId="34" applyFont="1" applyBorder="1" applyAlignment="1" applyProtection="1">
      <alignment horizontal="left" vertical="center"/>
    </xf>
    <xf numFmtId="164" fontId="33" fillId="0" borderId="15" xfId="0" applyNumberFormat="1" applyFont="1" applyBorder="1" applyAlignment="1" applyProtection="1">
      <alignment horizontal="center" vertical="center" shrinkToFit="1"/>
      <protection locked="0"/>
    </xf>
    <xf numFmtId="0" fontId="40" fillId="0" borderId="16" xfId="0" applyFont="1" applyBorder="1" applyAlignment="1">
      <alignment horizontal="center" vertical="center"/>
    </xf>
    <xf numFmtId="0" fontId="40" fillId="0" borderId="13" xfId="0" applyFont="1" applyBorder="1" applyAlignment="1">
      <alignment horizontal="center" vertical="center"/>
    </xf>
    <xf numFmtId="0" fontId="40" fillId="0" borderId="17" xfId="0" applyFont="1" applyBorder="1" applyAlignment="1">
      <alignment horizontal="center" vertical="center"/>
    </xf>
    <xf numFmtId="164" fontId="33" fillId="0" borderId="22" xfId="0" applyNumberFormat="1" applyFont="1" applyBorder="1" applyAlignment="1" applyProtection="1">
      <alignment horizontal="center" vertical="center" shrinkToFit="1"/>
      <protection locked="0"/>
    </xf>
    <xf numFmtId="167" fontId="33" fillId="0" borderId="16" xfId="0" applyNumberFormat="1" applyFont="1" applyBorder="1" applyAlignment="1">
      <alignment horizontal="center" vertical="center"/>
    </xf>
    <xf numFmtId="167" fontId="33" fillId="0" borderId="13" xfId="0" applyNumberFormat="1" applyFont="1" applyBorder="1" applyAlignment="1">
      <alignment horizontal="center" vertical="center"/>
    </xf>
    <xf numFmtId="167" fontId="33" fillId="0" borderId="17" xfId="0" applyNumberFormat="1" applyFont="1" applyBorder="1" applyAlignment="1">
      <alignment horizontal="center"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7">
    <dxf>
      <fill>
        <patternFill>
          <bgColor rgb="FF0070C0"/>
        </patternFill>
      </fill>
    </dxf>
    <dxf>
      <fill>
        <patternFill>
          <bgColor theme="0" tint="-0.499984740745262"/>
        </patternFill>
      </fill>
    </dxf>
    <dxf>
      <border>
        <left style="thin">
          <color rgb="FFC00000"/>
        </left>
        <right style="thin">
          <color rgb="FFC00000"/>
        </right>
        <vertical/>
        <horizontal/>
      </border>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drawing1.xml><?xml version="1.0" encoding="utf-8"?>
<xdr:wsDr xmlns:xdr="http://schemas.openxmlformats.org/drawingml/2006/spreadsheetDrawing" xmlns:a="http://schemas.openxmlformats.org/drawingml/2006/main">
  <xdr:twoCellAnchor editAs="absolute">
    <xdr:from>
      <xdr:col>8</xdr:col>
      <xdr:colOff>266700</xdr:colOff>
      <xdr:row>5</xdr:row>
      <xdr:rowOff>142875</xdr:rowOff>
    </xdr:from>
    <xdr:to>
      <xdr:col>29</xdr:col>
      <xdr:colOff>57150</xdr:colOff>
      <xdr:row>9</xdr:row>
      <xdr:rowOff>134730</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101600</xdr:colOff>
          <xdr:row>1</xdr:row>
          <xdr:rowOff>127000</xdr:rowOff>
        </xdr:from>
        <xdr:to>
          <xdr:col>27</xdr:col>
          <xdr:colOff>101600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37"/>
  <sheetViews>
    <sheetView showGridLines="0" tabSelected="1" zoomScale="118" zoomScaleNormal="100" workbookViewId="0">
      <pane ySplit="7" topLeftCell="A8" activePane="bottomLeft" state="frozen"/>
      <selection pane="bottomLeft" activeCell="M21" sqref="M21"/>
    </sheetView>
  </sheetViews>
  <sheetFormatPr baseColWidth="10" defaultColWidth="9.1640625" defaultRowHeight="13" x14ac:dyDescent="0.15"/>
  <cols>
    <col min="1" max="1" width="6.83203125" customWidth="1"/>
    <col min="2" max="2" width="28.33203125" customWidth="1"/>
    <col min="3" max="3" width="7.6640625" customWidth="1"/>
    <col min="4" max="4" width="6.83203125" hidden="1" customWidth="1"/>
    <col min="5" max="6" width="12" customWidth="1"/>
    <col min="7" max="7" width="6" customWidth="1"/>
    <col min="8" max="8" width="6.6640625" customWidth="1"/>
    <col min="9" max="9" width="6.33203125" customWidth="1"/>
    <col min="10" max="10" width="1.83203125" customWidth="1"/>
    <col min="11" max="45" width="2.33203125" customWidth="1"/>
    <col min="46" max="66" width="2.33203125" hidden="1" customWidth="1"/>
  </cols>
  <sheetData>
    <row r="1" spans="1:66" ht="30" customHeight="1" x14ac:dyDescent="0.15">
      <c r="A1" s="58" t="s">
        <v>18</v>
      </c>
      <c r="B1" s="6"/>
      <c r="C1" s="6"/>
      <c r="D1" s="6"/>
      <c r="E1" s="6"/>
      <c r="F1" s="6"/>
      <c r="I1" s="62"/>
      <c r="K1" s="83"/>
      <c r="L1" s="83"/>
      <c r="M1" s="83"/>
      <c r="N1" s="83"/>
      <c r="O1" s="83"/>
      <c r="P1" s="83"/>
      <c r="Q1" s="83"/>
      <c r="R1" s="83"/>
      <c r="S1" s="83"/>
      <c r="T1" s="83"/>
      <c r="U1" s="83"/>
      <c r="V1" s="83"/>
      <c r="W1" s="83"/>
      <c r="X1" s="83"/>
      <c r="Y1" s="83"/>
      <c r="Z1" s="83"/>
      <c r="AA1" s="83"/>
      <c r="AB1" s="83"/>
      <c r="AC1" s="83"/>
      <c r="AD1" s="83"/>
      <c r="AE1" s="83"/>
    </row>
    <row r="2" spans="1:66" ht="18" customHeight="1" x14ac:dyDescent="0.15">
      <c r="A2" s="9"/>
      <c r="B2" s="2"/>
      <c r="C2" s="2"/>
      <c r="D2" s="5"/>
      <c r="E2" s="63"/>
      <c r="F2" s="63"/>
      <c r="H2" s="1"/>
    </row>
    <row r="3" spans="1:66" ht="14" x14ac:dyDescent="0.15">
      <c r="A3" s="9"/>
      <c r="B3" s="7"/>
      <c r="H3" s="1"/>
      <c r="K3" s="3"/>
      <c r="L3" s="3"/>
      <c r="M3" s="3"/>
      <c r="N3" s="3"/>
      <c r="O3" s="3"/>
      <c r="P3" s="3"/>
      <c r="Q3" s="3"/>
      <c r="R3" s="3"/>
      <c r="S3" s="3"/>
      <c r="T3" s="3"/>
      <c r="U3" s="3"/>
      <c r="V3" s="3"/>
      <c r="W3" s="3"/>
      <c r="X3" s="3"/>
      <c r="Y3" s="3"/>
      <c r="Z3" s="3"/>
      <c r="AA3" s="3"/>
    </row>
    <row r="4" spans="1:66" ht="17.25" customHeight="1" x14ac:dyDescent="0.15">
      <c r="A4" s="48"/>
      <c r="B4" s="49" t="s">
        <v>12</v>
      </c>
      <c r="C4" s="88">
        <v>46062</v>
      </c>
      <c r="D4" s="88"/>
      <c r="E4" s="88"/>
      <c r="F4" s="48"/>
      <c r="G4" s="49" t="s">
        <v>11</v>
      </c>
      <c r="H4" s="61">
        <v>1</v>
      </c>
      <c r="I4" s="7"/>
      <c r="J4" s="8"/>
      <c r="K4" s="85" t="str">
        <f>"Week "&amp;(K6-($C$4-WEEKDAY($C$4,1)+2))/7+1</f>
        <v>Week 1</v>
      </c>
      <c r="L4" s="86"/>
      <c r="M4" s="86"/>
      <c r="N4" s="86"/>
      <c r="O4" s="86"/>
      <c r="P4" s="86"/>
      <c r="Q4" s="87"/>
      <c r="R4" s="85" t="str">
        <f>"Week "&amp;(R6-($C$4-WEEKDAY($C$4,1)+2))/7+1</f>
        <v>Week 2</v>
      </c>
      <c r="S4" s="86"/>
      <c r="T4" s="86"/>
      <c r="U4" s="86"/>
      <c r="V4" s="86"/>
      <c r="W4" s="86"/>
      <c r="X4" s="87"/>
      <c r="Y4" s="85" t="str">
        <f>"Week "&amp;(Y6-($C$4-WEEKDAY($C$4,1)+2))/7+1</f>
        <v>Week 3</v>
      </c>
      <c r="Z4" s="86"/>
      <c r="AA4" s="86"/>
      <c r="AB4" s="86"/>
      <c r="AC4" s="86"/>
      <c r="AD4" s="86"/>
      <c r="AE4" s="87"/>
      <c r="AF4" s="85" t="str">
        <f>"Week "&amp;(AF6-($C$4-WEEKDAY($C$4,1)+2))/7+1</f>
        <v>Week 4</v>
      </c>
      <c r="AG4" s="86"/>
      <c r="AH4" s="86"/>
      <c r="AI4" s="86"/>
      <c r="AJ4" s="86"/>
      <c r="AK4" s="86"/>
      <c r="AL4" s="87"/>
      <c r="AM4" s="85" t="str">
        <f>"Week "&amp;(AM6-($C$4-WEEKDAY($C$4,1)+2))/7+1</f>
        <v>Week 5</v>
      </c>
      <c r="AN4" s="86"/>
      <c r="AO4" s="86"/>
      <c r="AP4" s="86"/>
      <c r="AQ4" s="86"/>
      <c r="AR4" s="86"/>
      <c r="AS4" s="87"/>
      <c r="AT4" s="85" t="str">
        <f>"Week "&amp;(AT6-($C$4-WEEKDAY($C$4,1)+2))/7+1</f>
        <v>Week 6</v>
      </c>
      <c r="AU4" s="86"/>
      <c r="AV4" s="86"/>
      <c r="AW4" s="86"/>
      <c r="AX4" s="86"/>
      <c r="AY4" s="86"/>
      <c r="AZ4" s="87"/>
      <c r="BA4" s="85" t="str">
        <f>"Week "&amp;(BA6-($C$4-WEEKDAY($C$4,1)+2))/7+1</f>
        <v>Week 7</v>
      </c>
      <c r="BB4" s="86"/>
      <c r="BC4" s="86"/>
      <c r="BD4" s="86"/>
      <c r="BE4" s="86"/>
      <c r="BF4" s="86"/>
      <c r="BG4" s="87"/>
      <c r="BH4" s="85" t="str">
        <f>"Week "&amp;(BH6-($C$4-WEEKDAY($C$4,1)+2))/7+1</f>
        <v>Week 8</v>
      </c>
      <c r="BI4" s="86"/>
      <c r="BJ4" s="86"/>
      <c r="BK4" s="86"/>
      <c r="BL4" s="86"/>
      <c r="BM4" s="86"/>
      <c r="BN4" s="87"/>
    </row>
    <row r="5" spans="1:66" ht="17.25" customHeight="1" x14ac:dyDescent="0.15">
      <c r="A5" s="48"/>
      <c r="B5" s="49" t="s">
        <v>13</v>
      </c>
      <c r="C5" s="84" t="s">
        <v>14</v>
      </c>
      <c r="D5" s="84"/>
      <c r="E5" s="84"/>
      <c r="F5" s="48"/>
      <c r="G5" s="48"/>
      <c r="H5" s="48"/>
      <c r="I5" s="48"/>
      <c r="J5" s="8"/>
      <c r="K5" s="89">
        <f>K6</f>
        <v>46062</v>
      </c>
      <c r="L5" s="90"/>
      <c r="M5" s="90"/>
      <c r="N5" s="90"/>
      <c r="O5" s="90"/>
      <c r="P5" s="90"/>
      <c r="Q5" s="91"/>
      <c r="R5" s="89">
        <f>R6</f>
        <v>46069</v>
      </c>
      <c r="S5" s="90"/>
      <c r="T5" s="90"/>
      <c r="U5" s="90"/>
      <c r="V5" s="90"/>
      <c r="W5" s="90"/>
      <c r="X5" s="91"/>
      <c r="Y5" s="89">
        <f>Y6</f>
        <v>46076</v>
      </c>
      <c r="Z5" s="90"/>
      <c r="AA5" s="90"/>
      <c r="AB5" s="90"/>
      <c r="AC5" s="90"/>
      <c r="AD5" s="90"/>
      <c r="AE5" s="91"/>
      <c r="AF5" s="89">
        <f>AF6</f>
        <v>46083</v>
      </c>
      <c r="AG5" s="90"/>
      <c r="AH5" s="90"/>
      <c r="AI5" s="90"/>
      <c r="AJ5" s="90"/>
      <c r="AK5" s="90"/>
      <c r="AL5" s="91"/>
      <c r="AM5" s="89">
        <f>AM6</f>
        <v>46090</v>
      </c>
      <c r="AN5" s="90"/>
      <c r="AO5" s="90"/>
      <c r="AP5" s="90"/>
      <c r="AQ5" s="90"/>
      <c r="AR5" s="90"/>
      <c r="AS5" s="91"/>
      <c r="AT5" s="89">
        <f>AT6</f>
        <v>46097</v>
      </c>
      <c r="AU5" s="90"/>
      <c r="AV5" s="90"/>
      <c r="AW5" s="90"/>
      <c r="AX5" s="90"/>
      <c r="AY5" s="90"/>
      <c r="AZ5" s="91"/>
      <c r="BA5" s="89">
        <f>BA6</f>
        <v>46104</v>
      </c>
      <c r="BB5" s="90"/>
      <c r="BC5" s="90"/>
      <c r="BD5" s="90"/>
      <c r="BE5" s="90"/>
      <c r="BF5" s="90"/>
      <c r="BG5" s="91"/>
      <c r="BH5" s="89">
        <f>BH6</f>
        <v>46111</v>
      </c>
      <c r="BI5" s="90"/>
      <c r="BJ5" s="90"/>
      <c r="BK5" s="90"/>
      <c r="BL5" s="90"/>
      <c r="BM5" s="90"/>
      <c r="BN5" s="91"/>
    </row>
    <row r="6" spans="1:66" x14ac:dyDescent="0.15">
      <c r="A6" s="8"/>
      <c r="B6" s="8"/>
      <c r="C6" s="8"/>
      <c r="D6" s="8"/>
      <c r="E6" s="8"/>
      <c r="F6" s="8"/>
      <c r="G6" s="8"/>
      <c r="H6" s="8"/>
      <c r="I6" s="8"/>
      <c r="J6" s="8"/>
      <c r="K6" s="37">
        <f>C4-WEEKDAY(C4,1)+2+7*(H4-1)</f>
        <v>46062</v>
      </c>
      <c r="L6" s="28">
        <f t="shared" ref="L6:AQ6" si="0">K6+1</f>
        <v>46063</v>
      </c>
      <c r="M6" s="28">
        <f t="shared" si="0"/>
        <v>46064</v>
      </c>
      <c r="N6" s="28">
        <f t="shared" si="0"/>
        <v>46065</v>
      </c>
      <c r="O6" s="28">
        <f t="shared" si="0"/>
        <v>46066</v>
      </c>
      <c r="P6" s="28">
        <f t="shared" si="0"/>
        <v>46067</v>
      </c>
      <c r="Q6" s="38">
        <f t="shared" si="0"/>
        <v>46068</v>
      </c>
      <c r="R6" s="37">
        <f t="shared" si="0"/>
        <v>46069</v>
      </c>
      <c r="S6" s="28">
        <f t="shared" si="0"/>
        <v>46070</v>
      </c>
      <c r="T6" s="28">
        <f t="shared" si="0"/>
        <v>46071</v>
      </c>
      <c r="U6" s="28">
        <f t="shared" si="0"/>
        <v>46072</v>
      </c>
      <c r="V6" s="28">
        <f t="shared" si="0"/>
        <v>46073</v>
      </c>
      <c r="W6" s="28">
        <f t="shared" si="0"/>
        <v>46074</v>
      </c>
      <c r="X6" s="38">
        <f t="shared" si="0"/>
        <v>46075</v>
      </c>
      <c r="Y6" s="37">
        <f t="shared" si="0"/>
        <v>46076</v>
      </c>
      <c r="Z6" s="28">
        <f t="shared" si="0"/>
        <v>46077</v>
      </c>
      <c r="AA6" s="28">
        <f t="shared" si="0"/>
        <v>46078</v>
      </c>
      <c r="AB6" s="28">
        <f t="shared" si="0"/>
        <v>46079</v>
      </c>
      <c r="AC6" s="28">
        <f t="shared" si="0"/>
        <v>46080</v>
      </c>
      <c r="AD6" s="28">
        <f t="shared" si="0"/>
        <v>46081</v>
      </c>
      <c r="AE6" s="38">
        <f t="shared" si="0"/>
        <v>46082</v>
      </c>
      <c r="AF6" s="37">
        <f t="shared" si="0"/>
        <v>46083</v>
      </c>
      <c r="AG6" s="28">
        <f t="shared" si="0"/>
        <v>46084</v>
      </c>
      <c r="AH6" s="28">
        <f t="shared" si="0"/>
        <v>46085</v>
      </c>
      <c r="AI6" s="28">
        <f t="shared" si="0"/>
        <v>46086</v>
      </c>
      <c r="AJ6" s="28">
        <f t="shared" si="0"/>
        <v>46087</v>
      </c>
      <c r="AK6" s="28">
        <f t="shared" si="0"/>
        <v>46088</v>
      </c>
      <c r="AL6" s="38">
        <f t="shared" si="0"/>
        <v>46089</v>
      </c>
      <c r="AM6" s="37">
        <f t="shared" si="0"/>
        <v>46090</v>
      </c>
      <c r="AN6" s="28">
        <f t="shared" si="0"/>
        <v>46091</v>
      </c>
      <c r="AO6" s="28">
        <f t="shared" si="0"/>
        <v>46092</v>
      </c>
      <c r="AP6" s="28">
        <f t="shared" si="0"/>
        <v>46093</v>
      </c>
      <c r="AQ6" s="28">
        <f t="shared" si="0"/>
        <v>46094</v>
      </c>
      <c r="AR6" s="28">
        <f t="shared" ref="AR6:AS6" si="1">AQ6+1</f>
        <v>46095</v>
      </c>
      <c r="AS6" s="38">
        <f t="shared" si="1"/>
        <v>46096</v>
      </c>
      <c r="AT6" s="37">
        <f t="shared" ref="AT6:BN6" si="2">AS6+1</f>
        <v>46097</v>
      </c>
      <c r="AU6" s="28">
        <f t="shared" si="2"/>
        <v>46098</v>
      </c>
      <c r="AV6" s="28">
        <f t="shared" si="2"/>
        <v>46099</v>
      </c>
      <c r="AW6" s="28">
        <f t="shared" si="2"/>
        <v>46100</v>
      </c>
      <c r="AX6" s="28">
        <f t="shared" si="2"/>
        <v>46101</v>
      </c>
      <c r="AY6" s="28">
        <f t="shared" si="2"/>
        <v>46102</v>
      </c>
      <c r="AZ6" s="38">
        <f t="shared" si="2"/>
        <v>46103</v>
      </c>
      <c r="BA6" s="37">
        <f t="shared" si="2"/>
        <v>46104</v>
      </c>
      <c r="BB6" s="28">
        <f t="shared" si="2"/>
        <v>46105</v>
      </c>
      <c r="BC6" s="28">
        <f t="shared" si="2"/>
        <v>46106</v>
      </c>
      <c r="BD6" s="28">
        <f t="shared" si="2"/>
        <v>46107</v>
      </c>
      <c r="BE6" s="28">
        <f t="shared" si="2"/>
        <v>46108</v>
      </c>
      <c r="BF6" s="28">
        <f t="shared" si="2"/>
        <v>46109</v>
      </c>
      <c r="BG6" s="38">
        <f t="shared" si="2"/>
        <v>46110</v>
      </c>
      <c r="BH6" s="37">
        <f t="shared" si="2"/>
        <v>46111</v>
      </c>
      <c r="BI6" s="28">
        <f t="shared" si="2"/>
        <v>46112</v>
      </c>
      <c r="BJ6" s="28">
        <f t="shared" si="2"/>
        <v>46113</v>
      </c>
      <c r="BK6" s="28">
        <f t="shared" si="2"/>
        <v>46114</v>
      </c>
      <c r="BL6" s="28">
        <f t="shared" si="2"/>
        <v>46115</v>
      </c>
      <c r="BM6" s="28">
        <f t="shared" si="2"/>
        <v>46116</v>
      </c>
      <c r="BN6" s="38">
        <f t="shared" si="2"/>
        <v>46117</v>
      </c>
    </row>
    <row r="7" spans="1:66" s="7" customFormat="1" ht="27" thickBot="1" x14ac:dyDescent="0.2">
      <c r="A7" s="51" t="s">
        <v>0</v>
      </c>
      <c r="B7" s="51" t="s">
        <v>3</v>
      </c>
      <c r="C7" s="52" t="s">
        <v>4</v>
      </c>
      <c r="D7" s="53" t="s">
        <v>10</v>
      </c>
      <c r="E7" s="54" t="s">
        <v>5</v>
      </c>
      <c r="F7" s="54" t="s">
        <v>6</v>
      </c>
      <c r="G7" s="52" t="s">
        <v>7</v>
      </c>
      <c r="H7" s="52" t="s">
        <v>8</v>
      </c>
      <c r="I7" s="52" t="s">
        <v>9</v>
      </c>
      <c r="J7" s="52"/>
      <c r="K7" s="55" t="str">
        <f t="shared" ref="K7:AP7" si="3">CHOOSE(WEEKDAY(K6,1),"S","M","T","W","T","F","S")</f>
        <v>M</v>
      </c>
      <c r="L7" s="56" t="str">
        <f t="shared" si="3"/>
        <v>T</v>
      </c>
      <c r="M7" s="56" t="str">
        <f t="shared" si="3"/>
        <v>W</v>
      </c>
      <c r="N7" s="56" t="str">
        <f t="shared" si="3"/>
        <v>T</v>
      </c>
      <c r="O7" s="56" t="str">
        <f t="shared" si="3"/>
        <v>F</v>
      </c>
      <c r="P7" s="56" t="str">
        <f t="shared" si="3"/>
        <v>S</v>
      </c>
      <c r="Q7" s="57" t="str">
        <f t="shared" si="3"/>
        <v>S</v>
      </c>
      <c r="R7" s="55" t="str">
        <f t="shared" si="3"/>
        <v>M</v>
      </c>
      <c r="S7" s="56" t="str">
        <f t="shared" si="3"/>
        <v>T</v>
      </c>
      <c r="T7" s="56" t="str">
        <f t="shared" si="3"/>
        <v>W</v>
      </c>
      <c r="U7" s="56" t="str">
        <f t="shared" si="3"/>
        <v>T</v>
      </c>
      <c r="V7" s="56" t="str">
        <f t="shared" si="3"/>
        <v>F</v>
      </c>
      <c r="W7" s="56" t="str">
        <f t="shared" si="3"/>
        <v>S</v>
      </c>
      <c r="X7" s="57" t="str">
        <f t="shared" si="3"/>
        <v>S</v>
      </c>
      <c r="Y7" s="55" t="str">
        <f t="shared" si="3"/>
        <v>M</v>
      </c>
      <c r="Z7" s="56" t="str">
        <f t="shared" si="3"/>
        <v>T</v>
      </c>
      <c r="AA7" s="56" t="str">
        <f t="shared" si="3"/>
        <v>W</v>
      </c>
      <c r="AB7" s="56" t="str">
        <f t="shared" si="3"/>
        <v>T</v>
      </c>
      <c r="AC7" s="56" t="str">
        <f t="shared" si="3"/>
        <v>F</v>
      </c>
      <c r="AD7" s="56" t="str">
        <f t="shared" si="3"/>
        <v>S</v>
      </c>
      <c r="AE7" s="57" t="str">
        <f t="shared" si="3"/>
        <v>S</v>
      </c>
      <c r="AF7" s="55" t="str">
        <f t="shared" si="3"/>
        <v>M</v>
      </c>
      <c r="AG7" s="56" t="str">
        <f t="shared" si="3"/>
        <v>T</v>
      </c>
      <c r="AH7" s="56" t="str">
        <f t="shared" si="3"/>
        <v>W</v>
      </c>
      <c r="AI7" s="56" t="str">
        <f t="shared" si="3"/>
        <v>T</v>
      </c>
      <c r="AJ7" s="56" t="str">
        <f t="shared" si="3"/>
        <v>F</v>
      </c>
      <c r="AK7" s="56" t="str">
        <f t="shared" si="3"/>
        <v>S</v>
      </c>
      <c r="AL7" s="57" t="str">
        <f t="shared" si="3"/>
        <v>S</v>
      </c>
      <c r="AM7" s="55" t="str">
        <f t="shared" si="3"/>
        <v>M</v>
      </c>
      <c r="AN7" s="56" t="str">
        <f t="shared" si="3"/>
        <v>T</v>
      </c>
      <c r="AO7" s="56" t="str">
        <f t="shared" si="3"/>
        <v>W</v>
      </c>
      <c r="AP7" s="56" t="str">
        <f t="shared" si="3"/>
        <v>T</v>
      </c>
      <c r="AQ7" s="56" t="str">
        <f t="shared" ref="AQ7:AS7" si="4">CHOOSE(WEEKDAY(AQ6,1),"S","M","T","W","T","F","S")</f>
        <v>F</v>
      </c>
      <c r="AR7" s="56" t="str">
        <f t="shared" si="4"/>
        <v>S</v>
      </c>
      <c r="AS7" s="57" t="str">
        <f t="shared" si="4"/>
        <v>S</v>
      </c>
      <c r="AT7" s="55" t="str">
        <f t="shared" ref="AT7:BN7" si="5">CHOOSE(WEEKDAY(AT6,1),"S","M","T","W","T","F","S")</f>
        <v>M</v>
      </c>
      <c r="AU7" s="56" t="str">
        <f t="shared" si="5"/>
        <v>T</v>
      </c>
      <c r="AV7" s="56" t="str">
        <f t="shared" si="5"/>
        <v>W</v>
      </c>
      <c r="AW7" s="56" t="str">
        <f t="shared" si="5"/>
        <v>T</v>
      </c>
      <c r="AX7" s="56" t="str">
        <f t="shared" si="5"/>
        <v>F</v>
      </c>
      <c r="AY7" s="56" t="str">
        <f t="shared" si="5"/>
        <v>S</v>
      </c>
      <c r="AZ7" s="57" t="str">
        <f t="shared" si="5"/>
        <v>S</v>
      </c>
      <c r="BA7" s="55" t="str">
        <f t="shared" si="5"/>
        <v>M</v>
      </c>
      <c r="BB7" s="56" t="str">
        <f t="shared" si="5"/>
        <v>T</v>
      </c>
      <c r="BC7" s="56" t="str">
        <f t="shared" si="5"/>
        <v>W</v>
      </c>
      <c r="BD7" s="56" t="str">
        <f t="shared" si="5"/>
        <v>T</v>
      </c>
      <c r="BE7" s="56" t="str">
        <f t="shared" si="5"/>
        <v>F</v>
      </c>
      <c r="BF7" s="56" t="str">
        <f t="shared" si="5"/>
        <v>S</v>
      </c>
      <c r="BG7" s="57" t="str">
        <f t="shared" si="5"/>
        <v>S</v>
      </c>
      <c r="BH7" s="55" t="str">
        <f t="shared" si="5"/>
        <v>M</v>
      </c>
      <c r="BI7" s="56" t="str">
        <f t="shared" si="5"/>
        <v>T</v>
      </c>
      <c r="BJ7" s="56" t="str">
        <f t="shared" si="5"/>
        <v>W</v>
      </c>
      <c r="BK7" s="56" t="str">
        <f t="shared" si="5"/>
        <v>T</v>
      </c>
      <c r="BL7" s="56" t="str">
        <f t="shared" si="5"/>
        <v>F</v>
      </c>
      <c r="BM7" s="56" t="str">
        <f t="shared" si="5"/>
        <v>S</v>
      </c>
      <c r="BN7" s="57" t="str">
        <f t="shared" si="5"/>
        <v>S</v>
      </c>
    </row>
    <row r="8" spans="1:66" s="12" customFormat="1" ht="18" x14ac:dyDescent="0.15">
      <c r="A8" s="29" t="str">
        <f>IF(ISERROR(VALUE(SUBSTITUTE(prevWBS,".",""))),"1",IF(ISERROR(FIND("`",SUBSTITUTE(prevWBS,".","`",1))),TEXT(VALUE(prevWBS)+1,"#"),TEXT(VALUE(LEFT(prevWBS,FIND("`",SUBSTITUTE(prevWBS,".","`",1))-1))+1,"#")))</f>
        <v>1</v>
      </c>
      <c r="B8" s="30" t="s">
        <v>16</v>
      </c>
      <c r="C8" s="31"/>
      <c r="D8" s="32"/>
      <c r="E8" s="33"/>
      <c r="F8" s="50" t="str">
        <f>IF(ISBLANK(E8)," - ",IF(G8=0,E8,E8+G8-1))</f>
        <v xml:space="preserve"> - </v>
      </c>
      <c r="G8" s="34"/>
      <c r="H8" s="35"/>
      <c r="I8" s="36" t="str">
        <f t="shared" ref="I8:I16" si="6">IF(OR(F8=0,E8=0)," - ",NETWORKDAYS(E8,F8))</f>
        <v xml:space="preserve"> - </v>
      </c>
      <c r="J8" s="39"/>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row>
    <row r="9" spans="1:66" s="18" customFormat="1" ht="18" x14ac:dyDescent="0.15">
      <c r="A9" s="17" t="str">
        <f t="shared" ref="A9:A10" si="7">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59" t="s">
        <v>17</v>
      </c>
      <c r="C9" s="18" t="s">
        <v>14</v>
      </c>
      <c r="D9" s="60"/>
      <c r="E9" s="42">
        <v>46062</v>
      </c>
      <c r="F9" s="43">
        <f>IF(ISBLANK(E9)," - ",IF(G9=0,E9,E9+G9-1))</f>
        <v>46064</v>
      </c>
      <c r="G9" s="19">
        <v>3</v>
      </c>
      <c r="H9" s="20">
        <v>1</v>
      </c>
      <c r="I9" s="21">
        <v>3</v>
      </c>
      <c r="J9" s="40"/>
      <c r="K9" s="17"/>
      <c r="L9" s="17"/>
      <c r="M9" s="17"/>
      <c r="N9" s="17"/>
      <c r="O9" s="17"/>
      <c r="Q9" s="17"/>
      <c r="R9" s="17"/>
      <c r="S9" s="17"/>
      <c r="T9" s="17"/>
      <c r="U9" s="17"/>
      <c r="V9" s="17"/>
      <c r="W9" s="17"/>
      <c r="X9" s="17"/>
      <c r="Z9" s="64"/>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row>
    <row r="10" spans="1:66" s="18" customFormat="1" ht="18" x14ac:dyDescent="0.15">
      <c r="A10" s="17" t="str">
        <f t="shared" si="7"/>
        <v>1.2</v>
      </c>
      <c r="B10" s="59" t="s">
        <v>15</v>
      </c>
      <c r="C10" s="18" t="s">
        <v>14</v>
      </c>
      <c r="D10" s="60"/>
      <c r="E10" s="42">
        <v>46065</v>
      </c>
      <c r="F10" s="43">
        <f t="shared" ref="F10:F15" si="8">IF(ISBLANK(E10)," - ",IF(G10=0,E10,E10+G10-1))</f>
        <v>46066</v>
      </c>
      <c r="G10" s="19">
        <v>2</v>
      </c>
      <c r="H10" s="20">
        <v>1</v>
      </c>
      <c r="I10" s="21">
        <v>2</v>
      </c>
      <c r="J10" s="40"/>
      <c r="K10" s="17"/>
      <c r="L10" s="17"/>
      <c r="M10" s="17"/>
      <c r="N10" s="17"/>
      <c r="O10" s="17"/>
      <c r="P10" s="17"/>
      <c r="Q10" s="17"/>
      <c r="R10" s="17"/>
      <c r="S10" s="17"/>
      <c r="T10" s="17"/>
      <c r="U10" s="17"/>
      <c r="V10" s="17"/>
      <c r="W10" s="17"/>
      <c r="X10" s="17"/>
      <c r="Y10" s="82"/>
      <c r="Z10" s="64"/>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row>
    <row r="11" spans="1:66" s="12" customFormat="1" ht="18" x14ac:dyDescent="0.15">
      <c r="A11" s="10" t="str">
        <f>IF(ISERROR(VALUE(SUBSTITUTE(prevWBS,".",""))),"1",IF(ISERROR(FIND("`",SUBSTITUTE(prevWBS,".","`",1))),TEXT(VALUE(prevWBS)+1,"#"),TEXT(VALUE(LEFT(prevWBS,FIND("`",SUBSTITUTE(prevWBS,".","`",1))-1))+1,"#")))</f>
        <v>2</v>
      </c>
      <c r="B11" s="11" t="s">
        <v>19</v>
      </c>
      <c r="D11" s="13"/>
      <c r="E11" s="44"/>
      <c r="F11" s="44"/>
      <c r="G11" s="14"/>
      <c r="H11" s="15"/>
      <c r="I11" s="16"/>
      <c r="J11" s="41"/>
      <c r="K11" s="47"/>
      <c r="L11" s="47"/>
      <c r="M11" s="47"/>
      <c r="N11" s="47"/>
      <c r="O11" s="47"/>
      <c r="P11" s="47"/>
      <c r="Q11" s="47"/>
      <c r="R11" s="47"/>
      <c r="S11" s="47"/>
      <c r="T11" s="47"/>
      <c r="U11" s="47"/>
      <c r="V11" s="47"/>
      <c r="W11" s="47"/>
      <c r="X11" s="47"/>
      <c r="Y11" s="47"/>
      <c r="Z11" s="64"/>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row>
    <row r="12" spans="1:66" s="18" customFormat="1" ht="18" x14ac:dyDescent="0.15">
      <c r="A12"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2" s="59" t="s">
        <v>20</v>
      </c>
      <c r="C12" s="18" t="s">
        <v>28</v>
      </c>
      <c r="D12" s="60"/>
      <c r="E12" s="42">
        <v>46066</v>
      </c>
      <c r="F12" s="43">
        <f>IF(ISBLANK(E12)," - ",IF(G12=0,E12,E12+G12-1))</f>
        <v>46067</v>
      </c>
      <c r="G12" s="19">
        <v>2</v>
      </c>
      <c r="H12" s="20">
        <v>1</v>
      </c>
      <c r="I12" s="21">
        <f t="shared" si="6"/>
        <v>1</v>
      </c>
      <c r="J12" s="40"/>
      <c r="K12" s="17"/>
      <c r="L12" s="17"/>
      <c r="M12" s="17"/>
      <c r="N12" s="17"/>
      <c r="O12" s="17"/>
      <c r="P12" s="17"/>
      <c r="Q12" s="17"/>
      <c r="R12" s="17"/>
      <c r="S12" s="17"/>
      <c r="T12" s="17"/>
      <c r="U12" s="17"/>
      <c r="V12" s="17"/>
      <c r="W12" s="17"/>
      <c r="X12" s="17"/>
      <c r="Y12" s="17"/>
      <c r="Z12" s="64"/>
      <c r="AA12" s="17"/>
      <c r="AB12" s="17"/>
      <c r="AC12" s="17"/>
      <c r="AD12" s="17"/>
      <c r="AE12" s="17"/>
      <c r="AF12" s="17"/>
      <c r="AG12" s="17"/>
      <c r="AH12" s="17"/>
      <c r="AI12" s="17"/>
      <c r="AJ12" s="17"/>
      <c r="AK12" s="17"/>
      <c r="AL12" s="17"/>
      <c r="AM12" s="17"/>
      <c r="AN12" s="17"/>
      <c r="AO12" s="17"/>
      <c r="AP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row>
    <row r="13" spans="1:66" s="18" customFormat="1" ht="18" x14ac:dyDescent="0.15">
      <c r="A13"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3" s="59" t="s">
        <v>21</v>
      </c>
      <c r="C13" s="18" t="s">
        <v>27</v>
      </c>
      <c r="D13" s="60"/>
      <c r="E13" s="42">
        <v>46066</v>
      </c>
      <c r="F13" s="43">
        <f>IF(ISBLANK(E13)," - ",IF(G13=0,E13,E13+G13-1))</f>
        <v>46068</v>
      </c>
      <c r="G13" s="19">
        <v>3</v>
      </c>
      <c r="H13" s="20">
        <v>1</v>
      </c>
      <c r="I13" s="21">
        <v>3</v>
      </c>
      <c r="J13" s="40"/>
      <c r="K13" s="17"/>
      <c r="L13" s="17"/>
      <c r="M13" s="17"/>
      <c r="N13" s="17"/>
      <c r="O13" s="17"/>
      <c r="P13" s="17"/>
      <c r="Q13" s="17"/>
      <c r="R13" s="17"/>
      <c r="S13" s="17"/>
      <c r="T13" s="17"/>
      <c r="U13" s="17"/>
      <c r="V13" s="17"/>
      <c r="W13" s="17"/>
      <c r="X13" s="17"/>
      <c r="Y13" s="17"/>
      <c r="Z13" s="64"/>
      <c r="AA13" s="17"/>
      <c r="AB13" s="17"/>
      <c r="AC13" s="17"/>
      <c r="AD13" s="17"/>
      <c r="AE13" s="17"/>
      <c r="AF13" s="17"/>
      <c r="AG13" s="17"/>
      <c r="AH13" s="17"/>
      <c r="AI13" s="17"/>
      <c r="AJ13" s="17"/>
      <c r="AK13" s="17"/>
      <c r="AL13" s="17"/>
      <c r="AM13" s="17"/>
      <c r="AN13" s="17"/>
      <c r="AO13" s="17"/>
      <c r="AP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row>
    <row r="14" spans="1:66" s="18" customFormat="1" ht="18" x14ac:dyDescent="0.15">
      <c r="A14"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14" s="59" t="s">
        <v>22</v>
      </c>
      <c r="C14" s="18" t="s">
        <v>28</v>
      </c>
      <c r="D14" s="60"/>
      <c r="E14" s="42">
        <v>46069</v>
      </c>
      <c r="F14" s="43">
        <f t="shared" si="8"/>
        <v>46073</v>
      </c>
      <c r="G14" s="19">
        <v>5</v>
      </c>
      <c r="H14" s="20">
        <v>1</v>
      </c>
      <c r="I14" s="21">
        <f t="shared" si="6"/>
        <v>5</v>
      </c>
      <c r="J14" s="40"/>
      <c r="K14" s="17"/>
      <c r="L14" s="17"/>
      <c r="M14" s="17"/>
      <c r="N14" s="17"/>
      <c r="O14" s="17"/>
      <c r="P14" s="17"/>
      <c r="Q14" s="17"/>
      <c r="R14" s="17"/>
      <c r="S14" s="17"/>
      <c r="T14" s="17"/>
      <c r="U14" s="17"/>
      <c r="V14" s="17"/>
      <c r="W14" s="17"/>
      <c r="X14" s="17"/>
      <c r="Y14" s="17"/>
      <c r="Z14" s="64"/>
      <c r="AA14" s="17"/>
      <c r="AB14" s="17"/>
      <c r="AC14" s="17"/>
      <c r="AD14" s="17"/>
      <c r="AE14" s="17"/>
      <c r="AF14" s="17"/>
      <c r="AG14" s="17"/>
      <c r="AH14" s="17"/>
      <c r="AI14" s="17"/>
      <c r="AJ14" s="17"/>
      <c r="AK14" s="17"/>
      <c r="AL14" s="17"/>
      <c r="AM14" s="17"/>
      <c r="AN14" s="17"/>
      <c r="AO14" s="17"/>
      <c r="AP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row>
    <row r="15" spans="1:66" s="18" customFormat="1" ht="18" x14ac:dyDescent="0.15">
      <c r="A15"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15" s="81" t="s">
        <v>23</v>
      </c>
      <c r="C15" s="18" t="s">
        <v>27</v>
      </c>
      <c r="D15" s="60"/>
      <c r="E15" s="42">
        <v>46074</v>
      </c>
      <c r="F15" s="43">
        <f t="shared" si="8"/>
        <v>46076</v>
      </c>
      <c r="G15" s="19">
        <v>3</v>
      </c>
      <c r="H15" s="20">
        <v>1</v>
      </c>
      <c r="I15" s="21">
        <v>3</v>
      </c>
      <c r="J15" s="40"/>
      <c r="K15" s="17"/>
      <c r="L15" s="17"/>
      <c r="M15" s="17"/>
      <c r="N15" s="17"/>
      <c r="O15" s="17"/>
      <c r="P15" s="17"/>
      <c r="Q15" s="17"/>
      <c r="R15" s="17"/>
      <c r="S15" s="17"/>
      <c r="T15" s="17"/>
      <c r="U15" s="17"/>
      <c r="V15" s="17"/>
      <c r="W15" s="17"/>
      <c r="X15" s="17"/>
      <c r="Y15" s="17"/>
      <c r="Z15" s="64"/>
      <c r="AA15" s="17"/>
      <c r="AB15" s="17"/>
      <c r="AC15" s="17"/>
      <c r="AD15" s="17"/>
      <c r="AE15" s="17"/>
      <c r="AF15" s="17"/>
      <c r="AG15" s="17"/>
      <c r="AH15" s="17"/>
      <c r="AI15" s="17"/>
      <c r="AJ15" s="17"/>
      <c r="AK15" s="17"/>
      <c r="AL15" s="17"/>
      <c r="AM15" s="17"/>
      <c r="AN15" s="17"/>
      <c r="AO15" s="17"/>
      <c r="AP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row>
    <row r="16" spans="1:66" s="18" customFormat="1" ht="18" x14ac:dyDescent="0.15">
      <c r="A16"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2.5</v>
      </c>
      <c r="B16" s="59"/>
      <c r="D16" s="60"/>
      <c r="E16" s="42">
        <v>45999</v>
      </c>
      <c r="F16" s="43">
        <f t="shared" ref="F16:F28" si="9">IF(ISBLANK(E16)," - ",IF(G16=0,E16,E16+G16-1))</f>
        <v>46002</v>
      </c>
      <c r="G16" s="19">
        <v>4</v>
      </c>
      <c r="H16" s="20">
        <v>0</v>
      </c>
      <c r="I16" s="21">
        <f t="shared" si="6"/>
        <v>4</v>
      </c>
      <c r="J16" s="40"/>
      <c r="K16" s="17"/>
      <c r="L16" s="17"/>
      <c r="M16" s="17"/>
      <c r="N16" s="17"/>
      <c r="O16" s="17"/>
      <c r="P16" s="17"/>
      <c r="Q16" s="17"/>
      <c r="R16" s="17"/>
      <c r="S16" s="17"/>
      <c r="T16" s="17"/>
      <c r="U16" s="17"/>
      <c r="V16" s="17"/>
      <c r="W16" s="17"/>
      <c r="X16" s="17"/>
      <c r="Y16" s="17"/>
      <c r="Z16" s="64"/>
      <c r="AA16" s="17"/>
      <c r="AB16" s="17"/>
      <c r="AC16" s="17"/>
      <c r="AD16" s="17"/>
      <c r="AE16" s="17"/>
      <c r="AF16" s="17"/>
      <c r="AG16" s="17"/>
      <c r="AH16" s="17"/>
      <c r="AI16" s="17"/>
      <c r="AJ16" s="17"/>
      <c r="AK16" s="17"/>
      <c r="AL16" s="17"/>
      <c r="AM16" s="17"/>
      <c r="AN16" s="17"/>
      <c r="AO16" s="17"/>
      <c r="AP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row>
    <row r="17" spans="1:66" s="12" customFormat="1" ht="18" x14ac:dyDescent="0.15">
      <c r="A17" s="10" t="str">
        <f>IF(ISERROR(VALUE(SUBSTITUTE(prevWBS,".",""))),"1",IF(ISERROR(FIND("`",SUBSTITUTE(prevWBS,".","`",1))),TEXT(VALUE(prevWBS)+1,"#"),TEXT(VALUE(LEFT(prevWBS,FIND("`",SUBSTITUTE(prevWBS,".","`",1))-1))+1,"#")))</f>
        <v>3</v>
      </c>
      <c r="B17" s="11" t="s">
        <v>24</v>
      </c>
      <c r="D17" s="13"/>
      <c r="E17" s="44"/>
      <c r="F17" s="44" t="str">
        <f t="shared" si="9"/>
        <v xml:space="preserve"> - </v>
      </c>
      <c r="G17" s="14"/>
      <c r="H17" s="15"/>
      <c r="I17" s="16" t="str">
        <f t="shared" ref="I17:I28" si="10">IF(OR(F17=0,E17=0)," - ",NETWORKDAYS(E17,F17))</f>
        <v xml:space="preserve"> - </v>
      </c>
      <c r="J17" s="41"/>
      <c r="K17" s="47"/>
      <c r="L17" s="47"/>
      <c r="M17" s="47"/>
      <c r="N17" s="47"/>
      <c r="O17" s="47"/>
      <c r="P17" s="47"/>
      <c r="Q17" s="47"/>
      <c r="R17" s="47"/>
      <c r="S17" s="47"/>
      <c r="T17" s="47"/>
      <c r="U17" s="47"/>
      <c r="V17" s="47"/>
      <c r="W17" s="47"/>
      <c r="X17" s="47"/>
      <c r="Y17" s="47"/>
      <c r="Z17" s="64"/>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row>
    <row r="18" spans="1:66" s="18" customFormat="1" ht="18" x14ac:dyDescent="0.15">
      <c r="A18"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18" s="59" t="s">
        <v>25</v>
      </c>
      <c r="C18" s="18" t="s">
        <v>14</v>
      </c>
      <c r="D18" s="60"/>
      <c r="E18" s="42">
        <v>46068</v>
      </c>
      <c r="F18" s="43">
        <f t="shared" si="9"/>
        <v>46073</v>
      </c>
      <c r="G18" s="19">
        <v>6</v>
      </c>
      <c r="H18" s="20">
        <v>1</v>
      </c>
      <c r="I18" s="21">
        <f t="shared" si="10"/>
        <v>5</v>
      </c>
      <c r="J18" s="40"/>
      <c r="K18" s="17"/>
      <c r="L18" s="17"/>
      <c r="M18" s="17"/>
      <c r="N18" s="17"/>
      <c r="O18" s="17"/>
      <c r="P18" s="17"/>
      <c r="Q18" s="17"/>
      <c r="R18" s="17"/>
      <c r="S18" s="17"/>
      <c r="T18" s="17"/>
      <c r="U18" s="17"/>
      <c r="V18" s="17"/>
      <c r="W18" s="17"/>
      <c r="X18" s="17"/>
      <c r="Y18" s="17"/>
      <c r="Z18" s="64"/>
      <c r="AA18" s="17"/>
      <c r="AB18" s="17"/>
      <c r="AC18" s="17"/>
      <c r="AD18" s="17"/>
      <c r="AE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row>
    <row r="19" spans="1:66" s="18" customFormat="1" ht="18" x14ac:dyDescent="0.15">
      <c r="A19"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19" s="59" t="s">
        <v>26</v>
      </c>
      <c r="C19" s="18" t="s">
        <v>14</v>
      </c>
      <c r="D19" s="60"/>
      <c r="E19" s="42">
        <v>46074</v>
      </c>
      <c r="F19" s="43">
        <f t="shared" si="9"/>
        <v>46076</v>
      </c>
      <c r="G19" s="19">
        <v>3</v>
      </c>
      <c r="H19" s="20">
        <v>1</v>
      </c>
      <c r="I19" s="21">
        <f t="shared" si="10"/>
        <v>1</v>
      </c>
      <c r="J19" s="40"/>
      <c r="K19" s="17"/>
      <c r="L19" s="17"/>
      <c r="M19" s="17"/>
      <c r="N19" s="17"/>
      <c r="O19" s="17"/>
      <c r="P19" s="17"/>
      <c r="Q19" s="17"/>
      <c r="R19" s="17"/>
      <c r="S19" s="17"/>
      <c r="T19" s="17"/>
      <c r="U19" s="17"/>
      <c r="V19" s="17"/>
      <c r="W19" s="17"/>
      <c r="X19" s="17"/>
      <c r="Y19" s="17"/>
      <c r="Z19" s="64"/>
      <c r="AA19" s="17"/>
      <c r="AB19" s="17"/>
      <c r="AC19" s="17"/>
      <c r="AD19" s="17"/>
      <c r="AE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row>
    <row r="20" spans="1:66" s="18" customFormat="1" ht="18" x14ac:dyDescent="0.15">
      <c r="A20"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0" s="59"/>
      <c r="D20" s="60"/>
      <c r="E20" s="43"/>
      <c r="F20" s="43"/>
      <c r="G20" s="21"/>
      <c r="H20" s="76"/>
      <c r="I20" s="21"/>
      <c r="J20" s="40"/>
      <c r="K20" s="17"/>
      <c r="L20" s="17"/>
      <c r="M20" s="17"/>
      <c r="N20" s="17"/>
      <c r="O20" s="17"/>
      <c r="P20" s="17"/>
      <c r="Q20" s="17"/>
      <c r="R20" s="17"/>
      <c r="S20" s="17"/>
      <c r="T20" s="17"/>
      <c r="U20" s="17"/>
      <c r="V20" s="17"/>
      <c r="W20" s="17"/>
      <c r="X20" s="17"/>
      <c r="Y20" s="17"/>
      <c r="Z20" s="64"/>
      <c r="AA20" s="17"/>
      <c r="AB20" s="17"/>
      <c r="AC20" s="17"/>
      <c r="AD20" s="17"/>
      <c r="AE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row>
    <row r="21" spans="1:66" s="18" customFormat="1" ht="18" x14ac:dyDescent="0.15">
      <c r="A21"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3.4</v>
      </c>
      <c r="B21" s="59"/>
      <c r="D21" s="60"/>
      <c r="E21" s="43"/>
      <c r="F21" s="43"/>
      <c r="G21" s="21"/>
      <c r="H21" s="76"/>
      <c r="I21" s="21"/>
      <c r="J21" s="40"/>
      <c r="K21" s="17"/>
      <c r="L21" s="17"/>
      <c r="M21" s="17"/>
      <c r="N21" s="17"/>
      <c r="O21" s="17"/>
      <c r="P21" s="17"/>
      <c r="Q21" s="17"/>
      <c r="R21" s="17"/>
      <c r="S21" s="17"/>
      <c r="T21" s="17"/>
      <c r="U21" s="17"/>
      <c r="V21" s="17"/>
      <c r="W21" s="17"/>
      <c r="X21" s="17"/>
      <c r="Y21" s="17"/>
      <c r="Z21" s="17" t="s">
        <v>29</v>
      </c>
      <c r="AA21" s="17"/>
      <c r="AB21" s="17"/>
      <c r="AC21" s="17"/>
      <c r="AD21" s="17"/>
      <c r="AE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row>
    <row r="22" spans="1:66" s="18" customFormat="1" ht="18" x14ac:dyDescent="0.15">
      <c r="A22"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3.5</v>
      </c>
      <c r="B22" s="59"/>
      <c r="D22" s="60"/>
      <c r="E22" s="43"/>
      <c r="F22" s="43"/>
      <c r="G22" s="21"/>
      <c r="H22" s="76"/>
      <c r="I22" s="21"/>
      <c r="J22" s="40"/>
      <c r="K22" s="17"/>
      <c r="L22" s="17"/>
      <c r="M22" s="17"/>
      <c r="N22" s="17"/>
      <c r="O22" s="17"/>
      <c r="P22" s="17"/>
      <c r="Q22" s="17"/>
      <c r="R22" s="17"/>
      <c r="S22" s="17"/>
      <c r="T22" s="17"/>
      <c r="U22" s="17"/>
      <c r="V22" s="17"/>
      <c r="W22" s="17"/>
      <c r="X22" s="17"/>
      <c r="Y22" s="17"/>
      <c r="Z22" s="17"/>
      <c r="AA22" s="17"/>
      <c r="AB22" s="17"/>
      <c r="AC22" s="17"/>
      <c r="AD22" s="17"/>
      <c r="AE22" s="17"/>
      <c r="AF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row>
    <row r="23" spans="1:66" s="12" customFormat="1" ht="18" hidden="1" x14ac:dyDescent="0.15">
      <c r="A23" s="10" t="str">
        <f>IF(ISERROR(VALUE(SUBSTITUTE(prevWBS,".",""))),"1",IF(ISERROR(FIND("`",SUBSTITUTE(prevWBS,".","`",1))),TEXT(VALUE(prevWBS)+1,"#"),TEXT(VALUE(LEFT(prevWBS,FIND("`",SUBSTITUTE(prevWBS,".","`",1))-1))+1,"#")))</f>
        <v>4</v>
      </c>
      <c r="B23" s="11" t="s">
        <v>1</v>
      </c>
      <c r="D23" s="13"/>
      <c r="E23" s="44"/>
      <c r="F23" s="44" t="str">
        <f t="shared" si="9"/>
        <v xml:space="preserve"> - </v>
      </c>
      <c r="G23" s="14"/>
      <c r="H23" s="15"/>
      <c r="I23" s="16" t="str">
        <f t="shared" si="10"/>
        <v xml:space="preserve"> - </v>
      </c>
      <c r="J23" s="41"/>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row>
    <row r="24" spans="1:66" s="18" customFormat="1" ht="18" hidden="1" x14ac:dyDescent="0.15">
      <c r="A24"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4" s="59" t="s">
        <v>2</v>
      </c>
      <c r="D24" s="60"/>
      <c r="E24" s="42">
        <v>43129</v>
      </c>
      <c r="F24" s="43">
        <f t="shared" si="9"/>
        <v>43129</v>
      </c>
      <c r="G24" s="19">
        <v>1</v>
      </c>
      <c r="H24" s="20">
        <v>0</v>
      </c>
      <c r="I24" s="21">
        <f t="shared" si="10"/>
        <v>1</v>
      </c>
      <c r="J24" s="40"/>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row>
    <row r="25" spans="1:66" s="18" customFormat="1" ht="18" hidden="1" x14ac:dyDescent="0.15">
      <c r="A25"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5" s="59" t="s">
        <v>2</v>
      </c>
      <c r="D25" s="60"/>
      <c r="E25" s="42">
        <v>43130</v>
      </c>
      <c r="F25" s="43">
        <f t="shared" si="9"/>
        <v>43130</v>
      </c>
      <c r="G25" s="19">
        <v>1</v>
      </c>
      <c r="H25" s="20">
        <v>0</v>
      </c>
      <c r="I25" s="21">
        <f t="shared" si="10"/>
        <v>1</v>
      </c>
      <c r="J25" s="40"/>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row>
    <row r="26" spans="1:66" s="18" customFormat="1" ht="18" hidden="1" x14ac:dyDescent="0.15">
      <c r="A26"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26" s="59" t="s">
        <v>2</v>
      </c>
      <c r="D26" s="60"/>
      <c r="E26" s="42">
        <v>43131</v>
      </c>
      <c r="F26" s="43">
        <f t="shared" si="9"/>
        <v>43131</v>
      </c>
      <c r="G26" s="19">
        <v>1</v>
      </c>
      <c r="H26" s="20">
        <v>0</v>
      </c>
      <c r="I26" s="21">
        <f t="shared" si="10"/>
        <v>1</v>
      </c>
      <c r="J26" s="40"/>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row>
    <row r="27" spans="1:66" s="18" customFormat="1" ht="18" hidden="1" x14ac:dyDescent="0.15">
      <c r="A27"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27" s="59" t="s">
        <v>2</v>
      </c>
      <c r="D27" s="60"/>
      <c r="E27" s="42">
        <v>43132</v>
      </c>
      <c r="F27" s="43">
        <f t="shared" si="9"/>
        <v>43132</v>
      </c>
      <c r="G27" s="19">
        <v>1</v>
      </c>
      <c r="H27" s="20">
        <v>0</v>
      </c>
      <c r="I27" s="21">
        <f t="shared" si="10"/>
        <v>1</v>
      </c>
      <c r="J27" s="40"/>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row>
    <row r="28" spans="1:66" s="18" customFormat="1" ht="18" hidden="1" x14ac:dyDescent="0.15">
      <c r="A28"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4.5</v>
      </c>
      <c r="B28" s="59" t="s">
        <v>2</v>
      </c>
      <c r="D28" s="60"/>
      <c r="E28" s="42">
        <v>43133</v>
      </c>
      <c r="F28" s="43">
        <f t="shared" si="9"/>
        <v>43133</v>
      </c>
      <c r="G28" s="19">
        <v>1</v>
      </c>
      <c r="H28" s="20">
        <v>0</v>
      </c>
      <c r="I28" s="21">
        <f t="shared" si="10"/>
        <v>1</v>
      </c>
      <c r="J28" s="40"/>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row>
    <row r="29" spans="1:66" s="26" customFormat="1" ht="18" x14ac:dyDescent="0.15">
      <c r="A29" s="17"/>
      <c r="B29" s="22"/>
      <c r="C29" s="22"/>
      <c r="D29" s="23"/>
      <c r="E29" s="45"/>
      <c r="F29" s="45"/>
      <c r="G29" s="24"/>
      <c r="H29" s="25"/>
      <c r="I29" s="79"/>
      <c r="J29" s="80"/>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row>
    <row r="30" spans="1:66" s="26" customFormat="1" ht="18" x14ac:dyDescent="0.15">
      <c r="A30" s="17"/>
      <c r="B30" s="22"/>
      <c r="C30" s="22"/>
      <c r="D30" s="23"/>
      <c r="E30" s="45"/>
      <c r="F30" s="45"/>
      <c r="G30" s="24"/>
      <c r="H30" s="25"/>
      <c r="I30" s="79"/>
      <c r="J30" s="80"/>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row>
    <row r="31" spans="1:66" s="27" customFormat="1" ht="18" x14ac:dyDescent="0.15">
      <c r="A31" s="65"/>
      <c r="B31" s="66"/>
      <c r="C31" s="67"/>
      <c r="D31" s="67"/>
      <c r="E31" s="68"/>
      <c r="F31" s="68"/>
      <c r="J31" s="69"/>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row>
    <row r="32" spans="1:66" s="26" customFormat="1" ht="18" x14ac:dyDescent="0.15">
      <c r="A32" s="70"/>
      <c r="E32" s="71"/>
      <c r="F32" s="71"/>
      <c r="J32" s="69"/>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row>
    <row r="33" spans="1:66" s="26" customFormat="1" ht="18" x14ac:dyDescent="0.15">
      <c r="A33" s="72"/>
      <c r="B33" s="73"/>
      <c r="C33" s="74"/>
      <c r="D33" s="75"/>
      <c r="E33" s="43"/>
      <c r="F33" s="43"/>
      <c r="G33" s="21"/>
      <c r="H33" s="76"/>
      <c r="I33" s="21"/>
      <c r="J33" s="40"/>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row>
    <row r="34" spans="1:66" s="26" customFormat="1" ht="18" x14ac:dyDescent="0.15">
      <c r="A34" s="17"/>
      <c r="B34" s="77"/>
      <c r="C34" s="77"/>
      <c r="D34" s="75"/>
      <c r="E34" s="43"/>
      <c r="F34" s="43"/>
      <c r="G34" s="21"/>
      <c r="H34" s="76"/>
      <c r="I34" s="21"/>
      <c r="J34" s="40"/>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row>
    <row r="35" spans="1:66" s="26" customFormat="1" ht="18" x14ac:dyDescent="0.15">
      <c r="A35" s="17"/>
      <c r="B35" s="78"/>
      <c r="C35" s="77"/>
      <c r="D35" s="75"/>
      <c r="E35" s="43"/>
      <c r="F35" s="43"/>
      <c r="G35" s="21"/>
      <c r="H35" s="76"/>
      <c r="I35" s="21"/>
      <c r="J35" s="40"/>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row>
    <row r="36" spans="1:66" s="26" customFormat="1" ht="18" x14ac:dyDescent="0.15">
      <c r="A36" s="17"/>
      <c r="B36" s="78"/>
      <c r="C36" s="77"/>
      <c r="D36" s="75"/>
      <c r="E36" s="43"/>
      <c r="F36" s="43"/>
      <c r="G36" s="21"/>
      <c r="H36" s="76"/>
      <c r="I36" s="21"/>
      <c r="J36" s="40"/>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row>
    <row r="37" spans="1:66" s="4" customFormat="1" x14ac:dyDescent="0.15"/>
  </sheetData>
  <sheetProtection formatCells="0" formatColumns="0" formatRows="0" insertRows="0" deleteRows="0"/>
  <mergeCells count="19">
    <mergeCell ref="AF4:AL4"/>
    <mergeCell ref="AF5:AL5"/>
    <mergeCell ref="BH4:BN4"/>
    <mergeCell ref="BH5:BN5"/>
    <mergeCell ref="AM5:AS5"/>
    <mergeCell ref="AT4:AZ4"/>
    <mergeCell ref="AT5:AZ5"/>
    <mergeCell ref="AM4:AS4"/>
    <mergeCell ref="BA4:BG4"/>
    <mergeCell ref="BA5:BG5"/>
    <mergeCell ref="K1:AE1"/>
    <mergeCell ref="C5:E5"/>
    <mergeCell ref="R4:X4"/>
    <mergeCell ref="K4:Q4"/>
    <mergeCell ref="C4:E4"/>
    <mergeCell ref="R5:X5"/>
    <mergeCell ref="K5:Q5"/>
    <mergeCell ref="Y4:AE4"/>
    <mergeCell ref="Y5:AE5"/>
  </mergeCells>
  <phoneticPr fontId="3" type="noConversion"/>
  <conditionalFormatting sqref="H8:H36">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6" priority="45">
      <formula>K$6=TODAY()</formula>
    </cfRule>
  </conditionalFormatting>
  <conditionalFormatting sqref="K6:BN8 K9:O9 R9:X9 AA9:BN11 K10:X10 K11:Y22 AA12:AP16 AS12:BN16 AA17:BN17 AA18:AE22 AH18:BN22 AF22 K23:BN36">
    <cfRule type="expression" dxfId="5" priority="8">
      <formula>K$6=TODAY()</formula>
    </cfRule>
  </conditionalFormatting>
  <conditionalFormatting sqref="K8:BN8 K9:O9 R9:X9 AA9:BN11 K10:X10 K11:Y22 AA12:AP16 AS12:BN16 AA17:BN17 AA18:AE22 AH18:BN22 AF22 K23:BN36">
    <cfRule type="expression" dxfId="4" priority="48">
      <formula>AND($E8&lt;=K$6,ROUNDDOWN(($F8-$E8+1)*$H8,0)+$E8-1&gt;=K$6)</formula>
    </cfRule>
    <cfRule type="expression" dxfId="3" priority="49">
      <formula>AND(NOT(ISBLANK($E8)),$E8&lt;=K$6,$F8&gt;=K$6)</formula>
    </cfRule>
  </conditionalFormatting>
  <conditionalFormatting sqref="Q9 Z9:Z22 AR12:AR16 AG18:AG21">
    <cfRule type="expression" dxfId="2" priority="51">
      <formula>P$6=TODAY()</formula>
    </cfRule>
    <cfRule type="expression" dxfId="1" priority="54">
      <formula>AND($E9&lt;=P$6,ROUNDDOWN(($F9-$E9+1)*$H9,0)+$E9-1&gt;=P$6)</formula>
    </cfRule>
    <cfRule type="expression" dxfId="0" priority="55">
      <formula>AND(NOT(ISBLANK($E9)),$E9&lt;=P$6,$F9&gt;=P$6)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72"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101600</xdr:colOff>
                    <xdr:row>1</xdr:row>
                    <xdr:rowOff>127000</xdr:rowOff>
                  </from>
                  <to>
                    <xdr:col>27</xdr:col>
                    <xdr:colOff>101600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EC90E52D888A47976C24A06E9AAAAD" ma:contentTypeVersion="5" ma:contentTypeDescription="Create a new document." ma:contentTypeScope="" ma:versionID="068e3451f656c4120ad0eaf0e3e3d00a">
  <xsd:schema xmlns:xsd="http://www.w3.org/2001/XMLSchema" xmlns:xs="http://www.w3.org/2001/XMLSchema" xmlns:p="http://schemas.microsoft.com/office/2006/metadata/properties" xmlns:ns3="a2f352a2-bb18-4d19-b716-11a6485123f9" targetNamespace="http://schemas.microsoft.com/office/2006/metadata/properties" ma:root="true" ma:fieldsID="ca7ef22f6d0b05452b8a06feb80f385f" ns3:_="">
    <xsd:import namespace="a2f352a2-bb18-4d19-b716-11a6485123f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f352a2-bb18-4d19-b716-11a6485123f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a2f352a2-bb18-4d19-b716-11a6485123f9" xsi:nil="true"/>
  </documentManagement>
</p:properties>
</file>

<file path=customXml/itemProps1.xml><?xml version="1.0" encoding="utf-8"?>
<ds:datastoreItem xmlns:ds="http://schemas.openxmlformats.org/officeDocument/2006/customXml" ds:itemID="{0849B991-B23E-44E7-A4D7-D86D4A2C11A3}">
  <ds:schemaRefs>
    <ds:schemaRef ds:uri="http://schemas.microsoft.com/sharepoint/v3/contenttype/forms"/>
  </ds:schemaRefs>
</ds:datastoreItem>
</file>

<file path=customXml/itemProps2.xml><?xml version="1.0" encoding="utf-8"?>
<ds:datastoreItem xmlns:ds="http://schemas.openxmlformats.org/officeDocument/2006/customXml" ds:itemID="{99A9212D-2C37-4526-9FA2-2623347507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f352a2-bb18-4d19-b716-11a6485123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2C8F79-51DA-4972-AFA3-70A7B479F0E5}">
  <ds:schemaRefs>
    <ds:schemaRef ds:uri="http://www.w3.org/XML/1998/namespace"/>
    <ds:schemaRef ds:uri="http://schemas.openxmlformats.org/package/2006/metadata/core-properties"/>
    <ds:schemaRef ds:uri="http://schemas.microsoft.com/office/2006/documentManagement/types"/>
    <ds:schemaRef ds:uri="a2f352a2-bb18-4d19-b716-11a6485123f9"/>
    <ds:schemaRef ds:uri="http://schemas.microsoft.com/office/infopath/2007/PartnerControls"/>
    <ds:schemaRef ds:uri="http://purl.org/dc/elements/1.1/"/>
    <ds:schemaRef ds:uri="http://purl.org/dc/term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Carter Janssen</cp:lastModifiedBy>
  <cp:lastPrinted>2018-02-12T20:25:38Z</cp:lastPrinted>
  <dcterms:created xsi:type="dcterms:W3CDTF">2010-06-09T16:05:03Z</dcterms:created>
  <dcterms:modified xsi:type="dcterms:W3CDTF">2026-02-24T17:10:45Z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y fmtid="{D5CDD505-2E9C-101B-9397-08002B2CF9AE}" pid="5" name="ContentTypeId">
    <vt:lpwstr>0x0101000BEC90E52D888A47976C24A06E9AAAAD</vt:lpwstr>
  </property>
</Properties>
</file>